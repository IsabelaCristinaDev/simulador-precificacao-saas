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/>
  <xr:revisionPtr revIDLastSave="0" documentId="8_{BF3E6A6C-5BBC-4AA4-B25D-B0FE022F990B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Caso manual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5" i="1" l="1"/>
  <c r="C15" i="1"/>
  <c r="B15" i="1"/>
  <c r="D13" i="1"/>
  <c r="C13" i="1"/>
  <c r="B13" i="1"/>
  <c r="D12" i="1"/>
  <c r="D17" i="1" s="1"/>
  <c r="C12" i="1"/>
  <c r="B12" i="1"/>
  <c r="B17" i="1" s="1"/>
  <c r="B21" i="1" l="1"/>
  <c r="B20" i="1"/>
  <c r="B19" i="1"/>
  <c r="C33" i="1"/>
  <c r="C32" i="1"/>
  <c r="B31" i="1"/>
  <c r="B34" i="1" s="1"/>
  <c r="C26" i="1"/>
  <c r="B26" i="1"/>
  <c r="C17" i="1"/>
  <c r="D21" i="1"/>
  <c r="D20" i="1"/>
  <c r="D19" i="1"/>
  <c r="B14" i="1"/>
  <c r="B16" i="1" s="1"/>
  <c r="B18" i="1" s="1"/>
  <c r="C14" i="1"/>
  <c r="C16" i="1" s="1"/>
  <c r="C18" i="1" s="1"/>
  <c r="D14" i="1"/>
  <c r="D16" i="1" s="1"/>
  <c r="D18" i="1" s="1"/>
  <c r="C21" i="1" l="1"/>
  <c r="C20" i="1"/>
  <c r="C1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21" authorId="0" shapeId="0" xr:uid="{00000000-0006-0000-0000-000001000000}">
      <text>
        <r>
          <rPr>
            <sz val="10"/>
            <rFont val="Arial"/>
            <family val="2"/>
          </rPr>
          <t>Pegadinha: no preço 40, arredondamento comum dá 115 (errado). O teto dá 116, que é o correto: com 115 clientes o resultado ainda é negativo.</t>
        </r>
      </text>
    </comment>
  </commentList>
</comments>
</file>

<file path=xl/sharedStrings.xml><?xml version="1.0" encoding="utf-8"?>
<sst xmlns="http://schemas.openxmlformats.org/spreadsheetml/2006/main" count="46" uniqueCount="41">
  <si>
    <t>Caso resolvido à mão – Simulador de Precificação SaaS</t>
  </si>
  <si>
    <t>Dados fictícios de simulação · Moeda: R$ · Horizonte: mensal · Taxa de tributos hipotética (não é alíquota legal)</t>
  </si>
  <si>
    <t>1. Entradas (valores em azul = fornecidos)</t>
  </si>
  <si>
    <t>Item</t>
  </si>
  <si>
    <t>Preço 40 (pessimista)</t>
  </si>
  <si>
    <t>Preço 50 (base/referência)</t>
  </si>
  <si>
    <t>Preço 70 (otimista)</t>
  </si>
  <si>
    <t>Custo fixo (R$/mês)</t>
  </si>
  <si>
    <t>Custo variável (R$/cliente)</t>
  </si>
  <si>
    <t>Preço (R$/mês)</t>
  </si>
  <si>
    <t>Clientes</t>
  </si>
  <si>
    <t>Taxa hipotética (%)</t>
  </si>
  <si>
    <t>2. Cálculos (fórmulas)</t>
  </si>
  <si>
    <t>Taxa (fração)</t>
  </si>
  <si>
    <t>Receita</t>
  </si>
  <si>
    <t>Tributos</t>
  </si>
  <si>
    <t>Custo variável total</t>
  </si>
  <si>
    <t>Resultado</t>
  </si>
  <si>
    <t>Contribuição unitária</t>
  </si>
  <si>
    <t>Margem (%)</t>
  </si>
  <si>
    <t>Equilíbrio (valor exato)</t>
  </si>
  <si>
    <t>Equilíbrio (teto) ✔ correto</t>
  </si>
  <si>
    <t>Arredondamento comum ✘ errado</t>
  </si>
  <si>
    <t>3. Teste de limite do equilíbrio (preço 50)</t>
  </si>
  <si>
    <t>85 clientes</t>
  </si>
  <si>
    <t>86 clientes</t>
  </si>
  <si>
    <t>Esperado</t>
  </si>
  <si>
    <t>−R$ 25,00</t>
  </si>
  <si>
    <t>+R$ 10,00</t>
  </si>
  <si>
    <t>4. Preço que zera o resultado (100 clientes)</t>
  </si>
  <si>
    <t>Preço</t>
  </si>
  <si>
    <t>Preço exato  = (fixo/clientes + variável)/(1 − taxa)</t>
  </si>
  <si>
    <t>Teste com R$ 44,44</t>
  </si>
  <si>
    <t>Teste com R$ 44,45</t>
  </si>
  <si>
    <t>Preço exibido (teto no centavo)</t>
  </si>
  <si>
    <t>5. Conferência com calculadora (preencher à mão)</t>
  </si>
  <si>
    <t>Quem conferiu</t>
  </si>
  <si>
    <t>Wanessa - Isabela</t>
  </si>
  <si>
    <t>Data</t>
  </si>
  <si>
    <t>Valores batem? (sim/não)</t>
  </si>
  <si>
    <t>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</si>
</sst>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 &quot;#,##0.00;&quot;-R$ &quot;#,##0.00"/>
    <numFmt numFmtId="165" formatCode="0.0000"/>
  </numFmts>
  <fonts count="9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9"/>
      <name val="Arial"/>
      <charset val="1"/>
    </font>
    <font>
      <b/>
      <sz val="12"/>
      <color rgb="FFFFFFFF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sz val="11"/>
      <color rgb="FF0000FF"/>
      <name val="Arial"/>
      <charset val="1"/>
    </font>
    <font>
      <b/>
      <sz val="11"/>
      <color rgb="FFC00000"/>
      <name val="Arial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0" fillId="2" borderId="0" xfId="0" applyFill="1"/>
    <xf numFmtId="0" fontId="4" fillId="3" borderId="1" xfId="0" applyFont="1" applyFill="1" applyBorder="1"/>
    <xf numFmtId="0" fontId="5" fillId="0" borderId="1" xfId="0" applyFont="1" applyBorder="1"/>
    <xf numFmtId="164" fontId="6" fillId="0" borderId="1" xfId="0" applyNumberFormat="1" applyFont="1" applyBorder="1"/>
    <xf numFmtId="1" fontId="6" fillId="0" borderId="1" xfId="0" applyNumberFormat="1" applyFont="1" applyBorder="1"/>
    <xf numFmtId="2" fontId="5" fillId="0" borderId="1" xfId="0" applyNumberFormat="1" applyFont="1" applyBorder="1"/>
    <xf numFmtId="164" fontId="5" fillId="0" borderId="1" xfId="0" applyNumberFormat="1" applyFont="1" applyBorder="1"/>
    <xf numFmtId="0" fontId="4" fillId="0" borderId="1" xfId="0" applyFont="1" applyBorder="1"/>
    <xf numFmtId="1" fontId="4" fillId="0" borderId="1" xfId="0" applyNumberFormat="1" applyFont="1" applyBorder="1"/>
    <xf numFmtId="0" fontId="7" fillId="0" borderId="1" xfId="0" applyFont="1" applyBorder="1"/>
    <xf numFmtId="1" fontId="5" fillId="0" borderId="1" xfId="0" applyNumberFormat="1" applyFont="1" applyBorder="1"/>
    <xf numFmtId="165" fontId="5" fillId="0" borderId="1" xfId="0" applyNumberFormat="1" applyFont="1" applyBorder="1"/>
    <xf numFmtId="164" fontId="4" fillId="4" borderId="1" xfId="0" applyNumberFormat="1" applyFont="1" applyFill="1" applyBorder="1"/>
    <xf numFmtId="0" fontId="5" fillId="4" borderId="1" xfId="0" applyFont="1" applyFill="1" applyBorder="1"/>
    <xf numFmtId="16" fontId="5" fillId="4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"/>
  <sheetViews>
    <sheetView tabSelected="1" zoomScaleNormal="100" workbookViewId="0">
      <pane xSplit="1" ySplit="4" topLeftCell="B24" activePane="bottomRight" state="frozen"/>
      <selection pane="bottomRight" activeCell="C44" sqref="C44"/>
      <selection pane="bottomLeft" activeCell="A5" sqref="A5"/>
      <selection pane="topRight" activeCell="B1" sqref="B1"/>
    </sheetView>
  </sheetViews>
  <sheetFormatPr defaultColWidth="8.7109375" defaultRowHeight="15"/>
  <cols>
    <col min="1" max="1" width="101.7109375" customWidth="1"/>
    <col min="2" max="4" width="26" customWidth="1"/>
  </cols>
  <sheetData>
    <row r="1" spans="1:4" ht="17.45">
      <c r="A1" s="1" t="s">
        <v>0</v>
      </c>
    </row>
    <row r="2" spans="1:4">
      <c r="A2" s="2" t="s">
        <v>1</v>
      </c>
    </row>
    <row r="3" spans="1:4">
      <c r="A3" s="3" t="s">
        <v>2</v>
      </c>
      <c r="B3" s="4"/>
      <c r="C3" s="4"/>
      <c r="D3" s="4"/>
    </row>
    <row r="4" spans="1:4">
      <c r="A4" s="5" t="s">
        <v>3</v>
      </c>
      <c r="B4" s="5" t="s">
        <v>4</v>
      </c>
      <c r="C4" s="5" t="s">
        <v>5</v>
      </c>
      <c r="D4" s="5" t="s">
        <v>6</v>
      </c>
    </row>
    <row r="5" spans="1:4">
      <c r="A5" s="6" t="s">
        <v>7</v>
      </c>
      <c r="B5" s="7">
        <v>3000</v>
      </c>
      <c r="C5" s="7">
        <v>3000</v>
      </c>
      <c r="D5" s="7">
        <v>3000</v>
      </c>
    </row>
    <row r="6" spans="1:4">
      <c r="A6" s="6" t="s">
        <v>8</v>
      </c>
      <c r="B6" s="7">
        <v>10</v>
      </c>
      <c r="C6" s="7">
        <v>10</v>
      </c>
      <c r="D6" s="7">
        <v>10</v>
      </c>
    </row>
    <row r="7" spans="1:4">
      <c r="A7" s="6" t="s">
        <v>9</v>
      </c>
      <c r="B7" s="7">
        <v>40</v>
      </c>
      <c r="C7" s="7">
        <v>50</v>
      </c>
      <c r="D7" s="7">
        <v>70</v>
      </c>
    </row>
    <row r="8" spans="1:4">
      <c r="A8" s="6" t="s">
        <v>10</v>
      </c>
      <c r="B8" s="8">
        <v>100</v>
      </c>
      <c r="C8" s="8">
        <v>100</v>
      </c>
      <c r="D8" s="8">
        <v>100</v>
      </c>
    </row>
    <row r="9" spans="1:4">
      <c r="A9" s="6" t="s">
        <v>11</v>
      </c>
      <c r="B9" s="8">
        <v>10</v>
      </c>
      <c r="C9" s="8">
        <v>10</v>
      </c>
      <c r="D9" s="8">
        <v>10</v>
      </c>
    </row>
    <row r="11" spans="1:4">
      <c r="A11" s="3" t="s">
        <v>12</v>
      </c>
      <c r="B11" s="4"/>
      <c r="C11" s="4"/>
      <c r="D11" s="4"/>
    </row>
    <row r="12" spans="1:4">
      <c r="A12" s="6" t="s">
        <v>13</v>
      </c>
      <c r="B12" s="9">
        <f>B9/100</f>
        <v>0.1</v>
      </c>
      <c r="C12" s="9">
        <f>C9/100</f>
        <v>0.1</v>
      </c>
      <c r="D12" s="9">
        <f>D9/100</f>
        <v>0.1</v>
      </c>
    </row>
    <row r="13" spans="1:4">
      <c r="A13" s="6" t="s">
        <v>14</v>
      </c>
      <c r="B13" s="10">
        <f>B7*B8</f>
        <v>4000</v>
      </c>
      <c r="C13" s="10">
        <f>C7*C8</f>
        <v>5000</v>
      </c>
      <c r="D13" s="10">
        <f>D7*D8</f>
        <v>7000</v>
      </c>
    </row>
    <row r="14" spans="1:4">
      <c r="A14" s="6" t="s">
        <v>15</v>
      </c>
      <c r="B14" s="10">
        <f>B13*B12</f>
        <v>400</v>
      </c>
      <c r="C14" s="10">
        <f>C13*C12</f>
        <v>500</v>
      </c>
      <c r="D14" s="10">
        <f>D13*D12</f>
        <v>700</v>
      </c>
    </row>
    <row r="15" spans="1:4">
      <c r="A15" s="6" t="s">
        <v>16</v>
      </c>
      <c r="B15" s="10">
        <f>B6*B8</f>
        <v>1000</v>
      </c>
      <c r="C15" s="10">
        <f>C6*C8</f>
        <v>1000</v>
      </c>
      <c r="D15" s="10">
        <f>D6*D8</f>
        <v>1000</v>
      </c>
    </row>
    <row r="16" spans="1:4">
      <c r="A16" s="6" t="s">
        <v>17</v>
      </c>
      <c r="B16" s="10">
        <f>B13-B5-B15-B14</f>
        <v>-400</v>
      </c>
      <c r="C16" s="10">
        <f>C13-C5-C15-C14</f>
        <v>500</v>
      </c>
      <c r="D16" s="10">
        <f>D13-D5-D15-D14</f>
        <v>2300</v>
      </c>
    </row>
    <row r="17" spans="1:4">
      <c r="A17" s="6" t="s">
        <v>18</v>
      </c>
      <c r="B17" s="10">
        <f>B7*(1-B12)-B6</f>
        <v>26</v>
      </c>
      <c r="C17" s="10">
        <f>C7*(1-C12)-C6</f>
        <v>35</v>
      </c>
      <c r="D17" s="10">
        <f>D7*(1-D12)-D6</f>
        <v>53</v>
      </c>
    </row>
    <row r="18" spans="1:4">
      <c r="A18" s="6" t="s">
        <v>19</v>
      </c>
      <c r="B18" s="9">
        <f>IF(B13&gt;0,100*B16/B13,"não aplicável")</f>
        <v>-10</v>
      </c>
      <c r="C18" s="9">
        <f>IF(C13&gt;0,100*C16/C13,"não aplicável")</f>
        <v>10</v>
      </c>
      <c r="D18" s="9">
        <f>IF(D13&gt;0,100*D16/D13,"não aplicável")</f>
        <v>32.857142857142854</v>
      </c>
    </row>
    <row r="19" spans="1:4">
      <c r="A19" s="6" t="s">
        <v>20</v>
      </c>
      <c r="B19" s="9">
        <f>IF(B17&gt;0,B5/B17,"sem equilíbrio")</f>
        <v>115.38461538461539</v>
      </c>
      <c r="C19" s="9">
        <f>IF(C17&gt;0,C5/C17,"sem equilíbrio")</f>
        <v>85.714285714285708</v>
      </c>
      <c r="D19" s="9">
        <f>IF(D17&gt;0,D5/D17,"sem equilíbrio")</f>
        <v>56.60377358490566</v>
      </c>
    </row>
    <row r="20" spans="1:4">
      <c r="A20" s="11" t="s">
        <v>21</v>
      </c>
      <c r="B20" s="12">
        <f>IF(B17&gt;0,ROUNDUP(B5/B17,0),"sem equilíbrio")</f>
        <v>116</v>
      </c>
      <c r="C20" s="12">
        <f>IF(C17&gt;0,ROUNDUP(C5/C17,0),"sem equilíbrio")</f>
        <v>86</v>
      </c>
      <c r="D20" s="12">
        <f>IF(D17&gt;0,ROUNDUP(D5/D17,0),"sem equilíbrio")</f>
        <v>57</v>
      </c>
    </row>
    <row r="21" spans="1:4">
      <c r="A21" s="13" t="s">
        <v>22</v>
      </c>
      <c r="B21" s="14">
        <f>IF(B17&gt;0,ROUND(B5/B17,0),"-")</f>
        <v>115</v>
      </c>
      <c r="C21" s="14">
        <f>IF(C17&gt;0,ROUND(C5/C17,0),"-")</f>
        <v>86</v>
      </c>
      <c r="D21" s="14">
        <f>IF(D17&gt;0,ROUND(D5/D17,0),"-")</f>
        <v>57</v>
      </c>
    </row>
    <row r="23" spans="1:4">
      <c r="A23" s="3" t="s">
        <v>23</v>
      </c>
      <c r="B23" s="4"/>
      <c r="C23" s="4"/>
      <c r="D23" s="4"/>
    </row>
    <row r="24" spans="1:4">
      <c r="A24" s="5" t="s">
        <v>3</v>
      </c>
      <c r="B24" s="5" t="s">
        <v>24</v>
      </c>
      <c r="C24" s="5" t="s">
        <v>25</v>
      </c>
    </row>
    <row r="25" spans="1:4">
      <c r="A25" s="6" t="s">
        <v>10</v>
      </c>
      <c r="B25" s="8">
        <v>85</v>
      </c>
      <c r="C25" s="8">
        <v>86</v>
      </c>
    </row>
    <row r="26" spans="1:4">
      <c r="A26" s="6" t="s">
        <v>17</v>
      </c>
      <c r="B26" s="10">
        <f>$C$7*B25-$C$5-$C$6*B25-$C$7*B25*$C$12</f>
        <v>-25</v>
      </c>
      <c r="C26" s="10">
        <f>$C$7*C25-$C$5-$C$6*C25-$C$7*C25*$C$12</f>
        <v>10</v>
      </c>
    </row>
    <row r="27" spans="1:4">
      <c r="A27" s="6" t="s">
        <v>26</v>
      </c>
      <c r="B27" s="6" t="s">
        <v>27</v>
      </c>
      <c r="C27" s="6" t="s">
        <v>28</v>
      </c>
    </row>
    <row r="29" spans="1:4">
      <c r="A29" s="3" t="s">
        <v>29</v>
      </c>
      <c r="B29" s="4"/>
      <c r="C29" s="4"/>
      <c r="D29" s="4"/>
    </row>
    <row r="30" spans="1:4">
      <c r="A30" s="5" t="s">
        <v>3</v>
      </c>
      <c r="B30" s="5" t="s">
        <v>30</v>
      </c>
      <c r="C30" s="5" t="s">
        <v>17</v>
      </c>
    </row>
    <row r="31" spans="1:4">
      <c r="A31" s="6" t="s">
        <v>31</v>
      </c>
      <c r="B31" s="15">
        <f>($C$5/$C$8+$C$6)/(1-$C$12)</f>
        <v>44.444444444444443</v>
      </c>
    </row>
    <row r="32" spans="1:4">
      <c r="A32" s="6" t="s">
        <v>32</v>
      </c>
      <c r="B32" s="7">
        <v>44.44</v>
      </c>
      <c r="C32" s="10">
        <f>B32*$C$8-$C$5-$C$6*$C$8-B32*$C$8*$C$12</f>
        <v>-0.40000000000003411</v>
      </c>
    </row>
    <row r="33" spans="1:4">
      <c r="A33" s="6" t="s">
        <v>33</v>
      </c>
      <c r="B33" s="7">
        <v>44.45</v>
      </c>
      <c r="C33" s="10">
        <f>B33*$C$8-$C$5-$C$6*$C$8-B33*$C$8*$C$12</f>
        <v>0.5</v>
      </c>
    </row>
    <row r="34" spans="1:4">
      <c r="A34" s="11" t="s">
        <v>34</v>
      </c>
      <c r="B34" s="16">
        <f>ROUNDUP(B31,2)</f>
        <v>44.449999999999996</v>
      </c>
    </row>
    <row r="36" spans="1:4">
      <c r="A36" s="3" t="s">
        <v>35</v>
      </c>
      <c r="B36" s="4"/>
      <c r="C36" s="4"/>
      <c r="D36" s="4"/>
    </row>
    <row r="37" spans="1:4">
      <c r="A37" s="5" t="s">
        <v>36</v>
      </c>
      <c r="B37" s="17" t="s">
        <v>37</v>
      </c>
    </row>
    <row r="38" spans="1:4">
      <c r="A38" s="5" t="s">
        <v>38</v>
      </c>
      <c r="B38" s="18">
        <v>46293</v>
      </c>
    </row>
    <row r="39" spans="1:4">
      <c r="A39" s="5" t="s">
        <v>39</v>
      </c>
      <c r="B39" s="17" t="s">
        <v>40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2026-09-29T01:12:32Z</dcterms:created>
  <dcterms:modified xsi:type="dcterms:W3CDTF">2026-09-29T10:52:28Z</dcterms:modified>
  <cp:category/>
  <cp:contentStatus/>
</cp:coreProperties>
</file>